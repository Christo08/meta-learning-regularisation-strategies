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498c2a7fab902e/tuks/master/code/Thesis/Data/Results/Stats/MetaLearner/"/>
    </mc:Choice>
  </mc:AlternateContent>
  <xr:revisionPtr revIDLastSave="536" documentId="8_{0A615B89-1938-415B-AAA3-A4CD1F7AC160}" xr6:coauthVersionLast="47" xr6:coauthVersionMax="47" xr10:uidLastSave="{46B45856-A208-4213-A6E3-8491F5EF1BA1}"/>
  <bookViews>
    <workbookView xWindow="-120" yWindow="-120" windowWidth="38640" windowHeight="21840" activeTab="2" xr2:uid="{D9209B57-459A-4E4E-AB5D-6910ACAA2D74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3" hidden="1">Sheet2!$A$1:$H$41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/>
  <c r="C60" i="2"/>
  <c r="C62" i="2"/>
  <c r="C63" i="2"/>
  <c r="C5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2" i="2"/>
</calcChain>
</file>

<file path=xl/sharedStrings.xml><?xml version="1.0" encoding="utf-8"?>
<sst xmlns="http://schemas.openxmlformats.org/spreadsheetml/2006/main" count="167" uniqueCount="44">
  <si>
    <t>Able To trained</t>
  </si>
  <si>
    <t>Able  to generalised</t>
  </si>
  <si>
    <t>Can't train or generalise</t>
  </si>
  <si>
    <t>50/50</t>
  </si>
  <si>
    <t>F1 weight (Recall/Precision)</t>
  </si>
  <si>
    <t>25/75</t>
  </si>
  <si>
    <t>40/60</t>
  </si>
  <si>
    <t>60/40</t>
  </si>
  <si>
    <t>75/25</t>
  </si>
  <si>
    <t>baseline</t>
  </si>
  <si>
    <t>weight perturbation</t>
  </si>
  <si>
    <t>baseline,
batch normalisation,
dropout,
layer normalisation,
prune,
weight decay,
weight normalisation,
weight perturbation</t>
  </si>
  <si>
    <t>None</t>
  </si>
  <si>
    <t>baseline,
batch normalisation,
layer normalisation,
prune,
weight decay,
weight normalisation,
weight perturbation</t>
  </si>
  <si>
    <t>Drop out</t>
  </si>
  <si>
    <t>weight normalisation</t>
  </si>
  <si>
    <t>baseline, 
weight decay,
weight normalisation,</t>
  </si>
  <si>
    <t>batch normalisation,
layer normalisation,
prune,
weight decay,
weight normalisation,
weight perturbation</t>
  </si>
  <si>
    <t>Baseline, Dropout</t>
  </si>
  <si>
    <t>batch normalisation,
layer normalisation,
weight normalisation</t>
  </si>
  <si>
    <t>f1 ratios</t>
  </si>
  <si>
    <t>Technique</t>
  </si>
  <si>
    <t>Modul type</t>
  </si>
  <si>
    <t>batch normalisation</t>
  </si>
  <si>
    <t>dropout</t>
  </si>
  <si>
    <t>layer normalisation</t>
  </si>
  <si>
    <t>prune</t>
  </si>
  <si>
    <t>weight decay</t>
  </si>
  <si>
    <t>Testing FN</t>
  </si>
  <si>
    <t>Testing TN</t>
  </si>
  <si>
    <t>Testing FP</t>
  </si>
  <si>
    <t>Testing TP</t>
  </si>
  <si>
    <t>svm</t>
  </si>
  <si>
    <t>decision tree</t>
  </si>
  <si>
    <t>knn</t>
  </si>
  <si>
    <t>nn</t>
  </si>
  <si>
    <t xml:space="preserve">svm </t>
  </si>
  <si>
    <t>Generalised</t>
  </si>
  <si>
    <t>old</t>
  </si>
  <si>
    <t>new</t>
  </si>
  <si>
    <t>batch normalisation,layer normalisation,
weight normalisation,
weight perturbation</t>
  </si>
  <si>
    <t>baseline, dropout, 
prune, weight decay,</t>
  </si>
  <si>
    <t>none</t>
  </si>
  <si>
    <t>batch normalisation,
layer normalisation,
weight normalisation,
weight perturbation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</si>
</sst>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4" fillId="0" borderId="1" xfId="0" applyFont="1" applyBorder="1"/>
    <xf numFmtId="0" fontId="4" fillId="0" borderId="0" xfId="0" applyFont="1"/>
    <xf numFmtId="0" fontId="0" fillId="2" borderId="1" xfId="0" applyFill="1" applyBorder="1"/>
    <xf numFmtId="0" fontId="0" fillId="2" borderId="0" xfId="0" applyFill="1"/>
    <xf numFmtId="2" fontId="0" fillId="0" borderId="0" xfId="0" applyNumberFormat="1"/>
    <xf numFmtId="0" fontId="0" fillId="0" borderId="1" xfId="0" quotePrefix="1" applyBorder="1"/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7F8A-BC9B-4DCC-9271-20F0A664F282}">
  <dimension ref="A1:D6"/>
  <sheetViews>
    <sheetView workbookViewId="0">
      <selection activeCell="A4" sqref="A4:D4"/>
    </sheetView>
  </sheetViews>
  <sheetFormatPr defaultRowHeight="15" x14ac:dyDescent="0.25"/>
  <cols>
    <col min="1" max="1" width="25.5703125" bestFit="1" customWidth="1"/>
    <col min="2" max="2" width="21" customWidth="1"/>
    <col min="3" max="3" width="20.7109375" customWidth="1"/>
    <col min="4" max="4" width="17.7109375" bestFit="1" customWidth="1"/>
    <col min="5" max="5" width="22.28515625" bestFit="1" customWidth="1"/>
  </cols>
  <sheetData>
    <row r="1" spans="1:4" ht="31.5" x14ac:dyDescent="0.25">
      <c r="A1" s="3" t="s">
        <v>4</v>
      </c>
      <c r="B1" s="4" t="s">
        <v>0</v>
      </c>
      <c r="C1" s="3" t="s">
        <v>1</v>
      </c>
      <c r="D1" s="3" t="s">
        <v>2</v>
      </c>
    </row>
    <row r="2" spans="1:4" ht="141.75" x14ac:dyDescent="0.25">
      <c r="A2" s="5" t="s">
        <v>5</v>
      </c>
      <c r="B2" s="6" t="s">
        <v>11</v>
      </c>
      <c r="C2" s="5" t="s">
        <v>15</v>
      </c>
      <c r="D2" s="5" t="s">
        <v>12</v>
      </c>
    </row>
    <row r="3" spans="1:4" ht="126" x14ac:dyDescent="0.25">
      <c r="A3" s="5" t="s">
        <v>6</v>
      </c>
      <c r="B3" s="6" t="s">
        <v>13</v>
      </c>
      <c r="C3" s="6" t="s">
        <v>16</v>
      </c>
      <c r="D3" s="5" t="s">
        <v>14</v>
      </c>
    </row>
    <row r="4" spans="1:4" ht="110.25" x14ac:dyDescent="0.25">
      <c r="A4" s="5" t="s">
        <v>3</v>
      </c>
      <c r="B4" s="6" t="s">
        <v>17</v>
      </c>
      <c r="C4" s="6" t="s">
        <v>19</v>
      </c>
      <c r="D4" s="5" t="s">
        <v>18</v>
      </c>
    </row>
    <row r="5" spans="1:4" ht="141.75" x14ac:dyDescent="0.25">
      <c r="A5" s="5" t="s">
        <v>7</v>
      </c>
      <c r="B5" s="6" t="s">
        <v>11</v>
      </c>
      <c r="C5" s="5" t="s">
        <v>15</v>
      </c>
      <c r="D5" s="5" t="s">
        <v>12</v>
      </c>
    </row>
    <row r="6" spans="1:4" ht="126" x14ac:dyDescent="0.25">
      <c r="A6" s="5" t="s">
        <v>8</v>
      </c>
      <c r="B6" s="6" t="s">
        <v>13</v>
      </c>
      <c r="C6" s="6" t="s">
        <v>19</v>
      </c>
      <c r="D6" s="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C938-4357-494C-8942-92D3C983573C}">
  <dimension ref="A2:E3"/>
  <sheetViews>
    <sheetView workbookViewId="0">
      <selection activeCell="D2" sqref="D2"/>
    </sheetView>
  </sheetViews>
  <sheetFormatPr defaultRowHeight="15" x14ac:dyDescent="0.25"/>
  <cols>
    <col min="3" max="3" width="22.42578125" customWidth="1"/>
    <col min="4" max="4" width="24.42578125" customWidth="1"/>
    <col min="5" max="5" width="17.7109375" bestFit="1" customWidth="1"/>
  </cols>
  <sheetData>
    <row r="2" spans="1:5" ht="78.75" x14ac:dyDescent="0.25">
      <c r="A2" t="s">
        <v>38</v>
      </c>
      <c r="B2" s="5" t="s">
        <v>3</v>
      </c>
      <c r="C2" s="6" t="s">
        <v>40</v>
      </c>
      <c r="D2" s="6" t="s">
        <v>43</v>
      </c>
      <c r="E2" s="5" t="s">
        <v>18</v>
      </c>
    </row>
    <row r="3" spans="1:5" ht="31.5" x14ac:dyDescent="0.25">
      <c r="A3" t="s">
        <v>39</v>
      </c>
      <c r="B3" t="s">
        <v>3</v>
      </c>
      <c r="C3" s="6" t="s">
        <v>41</v>
      </c>
      <c r="D3" t="s">
        <v>27</v>
      </c>
      <c r="E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B31A-8637-4399-91F9-8A8344595840}">
  <dimension ref="B2:L21"/>
  <sheetViews>
    <sheetView tabSelected="1" workbookViewId="0">
      <selection sqref="A1:XFD1048576"/>
    </sheetView>
  </sheetViews>
  <sheetFormatPr defaultRowHeight="15" x14ac:dyDescent="0.25"/>
  <cols>
    <col min="1" max="1" width="11.7109375" bestFit="1" customWidth="1"/>
  </cols>
  <sheetData>
    <row r="2" spans="2:12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11" spans="2:12" x14ac:dyDescent="0.25">
      <c r="B11" s="12"/>
      <c r="C11" s="12"/>
    </row>
    <row r="12" spans="2:12" x14ac:dyDescent="0.25">
      <c r="B12" s="12"/>
      <c r="C12" s="12"/>
    </row>
    <row r="13" spans="2:12" x14ac:dyDescent="0.25">
      <c r="B13" s="12"/>
      <c r="C13" s="12"/>
    </row>
    <row r="14" spans="2:12" x14ac:dyDescent="0.25">
      <c r="B14" s="12"/>
      <c r="C14" s="12"/>
    </row>
    <row r="15" spans="2:12" x14ac:dyDescent="0.25">
      <c r="B15" s="12"/>
      <c r="C15" s="12"/>
    </row>
    <row r="16" spans="2:12" x14ac:dyDescent="0.25">
      <c r="B16" s="12"/>
      <c r="C16" s="12"/>
    </row>
    <row r="17" spans="2:3" x14ac:dyDescent="0.25">
      <c r="B17" s="12"/>
      <c r="C17" s="12"/>
    </row>
    <row r="18" spans="2:3" x14ac:dyDescent="0.25">
      <c r="B18" s="12"/>
      <c r="C18" s="12"/>
    </row>
    <row r="19" spans="2:3" x14ac:dyDescent="0.25">
      <c r="B19" s="12"/>
      <c r="C19" s="12"/>
    </row>
    <row r="20" spans="2:3" x14ac:dyDescent="0.25">
      <c r="B20" s="12"/>
      <c r="C20" s="12"/>
    </row>
    <row r="21" spans="2:3" x14ac:dyDescent="0.25">
      <c r="B21" s="12"/>
      <c r="C21" s="12"/>
    </row>
  </sheetData>
  <conditionalFormatting sqref="B11:H88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AF62-76FD-4510-A652-61FF58756BCF}">
  <dimension ref="A1:V63"/>
  <sheetViews>
    <sheetView topLeftCell="A9" zoomScale="85" zoomScaleNormal="85" workbookViewId="0">
      <selection activeCell="R44" sqref="R44"/>
    </sheetView>
  </sheetViews>
  <sheetFormatPr defaultRowHeight="15" x14ac:dyDescent="0.25"/>
  <cols>
    <col min="1" max="1" width="10.140625" bestFit="1" customWidth="1"/>
    <col min="2" max="2" width="20" bestFit="1" customWidth="1"/>
    <col min="3" max="3" width="12.28515625" customWidth="1"/>
    <col min="4" max="5" width="10.140625" bestFit="1" customWidth="1"/>
    <col min="6" max="7" width="10.42578125" bestFit="1" customWidth="1"/>
    <col min="8" max="8" width="11.5703125" bestFit="1" customWidth="1"/>
    <col min="18" max="18" width="12.28515625" bestFit="1" customWidth="1"/>
  </cols>
  <sheetData>
    <row r="1" spans="1:8" x14ac:dyDescent="0.25">
      <c r="A1" s="2" t="s">
        <v>20</v>
      </c>
      <c r="B1" s="2" t="s">
        <v>21</v>
      </c>
      <c r="C1" s="2" t="s">
        <v>22</v>
      </c>
      <c r="D1" s="2" t="s">
        <v>31</v>
      </c>
      <c r="E1" s="2" t="s">
        <v>30</v>
      </c>
      <c r="F1" s="2" t="s">
        <v>29</v>
      </c>
      <c r="G1" s="2" t="s">
        <v>28</v>
      </c>
      <c r="H1" s="2" t="s">
        <v>37</v>
      </c>
    </row>
    <row r="2" spans="1:8" ht="15.75" customHeight="1" x14ac:dyDescent="0.25">
      <c r="A2" s="14" t="s">
        <v>5</v>
      </c>
      <c r="B2" s="1" t="s">
        <v>9</v>
      </c>
      <c r="C2" s="1" t="s">
        <v>32</v>
      </c>
      <c r="D2" s="1">
        <v>5</v>
      </c>
      <c r="E2" s="1">
        <v>26</v>
      </c>
      <c r="F2" s="1">
        <v>80</v>
      </c>
      <c r="G2" s="1">
        <v>24</v>
      </c>
      <c r="H2" t="b">
        <f>IF(AND(D2&gt;=E2,F2&gt;=G2),TRUE,FALSE)</f>
        <v>0</v>
      </c>
    </row>
    <row r="3" spans="1:8" ht="15.75" customHeight="1" x14ac:dyDescent="0.25">
      <c r="A3" s="15"/>
      <c r="B3" s="1" t="s">
        <v>23</v>
      </c>
      <c r="C3" s="1" t="s">
        <v>32</v>
      </c>
      <c r="D3" s="1">
        <v>14</v>
      </c>
      <c r="E3" s="1">
        <v>25</v>
      </c>
      <c r="F3" s="1">
        <v>57</v>
      </c>
      <c r="G3" s="1">
        <v>39</v>
      </c>
      <c r="H3" t="b">
        <f t="shared" ref="H3:H41" si="0">IF(AND(D3&gt;=E3,F3&gt;=G3),TRUE,FALSE)</f>
        <v>0</v>
      </c>
    </row>
    <row r="4" spans="1:8" ht="15.75" customHeight="1" x14ac:dyDescent="0.25">
      <c r="A4" s="15"/>
      <c r="B4" s="1" t="s">
        <v>24</v>
      </c>
      <c r="C4" s="1" t="s">
        <v>33</v>
      </c>
      <c r="D4" s="1">
        <v>4</v>
      </c>
      <c r="E4" s="1">
        <v>27</v>
      </c>
      <c r="F4" s="1">
        <v>90</v>
      </c>
      <c r="G4" s="1">
        <v>14</v>
      </c>
      <c r="H4" t="b">
        <f t="shared" si="0"/>
        <v>0</v>
      </c>
    </row>
    <row r="5" spans="1:8" ht="15.75" customHeight="1" x14ac:dyDescent="0.25">
      <c r="A5" s="15"/>
      <c r="B5" s="1" t="s">
        <v>25</v>
      </c>
      <c r="C5" s="1" t="s">
        <v>32</v>
      </c>
      <c r="D5" s="1">
        <v>31</v>
      </c>
      <c r="E5" s="1">
        <v>39</v>
      </c>
      <c r="F5" s="1">
        <v>40</v>
      </c>
      <c r="G5" s="1">
        <v>19</v>
      </c>
      <c r="H5" t="b">
        <f t="shared" si="0"/>
        <v>0</v>
      </c>
    </row>
    <row r="6" spans="1:8" ht="15.75" customHeight="1" x14ac:dyDescent="0.25">
      <c r="A6" s="15"/>
      <c r="B6" s="1" t="s">
        <v>26</v>
      </c>
      <c r="C6" s="1" t="s">
        <v>33</v>
      </c>
      <c r="D6" s="1">
        <v>7</v>
      </c>
      <c r="E6" s="1">
        <v>47</v>
      </c>
      <c r="F6" s="1">
        <v>42</v>
      </c>
      <c r="G6" s="1">
        <v>39</v>
      </c>
      <c r="H6" t="b">
        <f t="shared" si="0"/>
        <v>0</v>
      </c>
    </row>
    <row r="7" spans="1:8" ht="15.75" customHeight="1" x14ac:dyDescent="0.25">
      <c r="A7" s="15"/>
      <c r="B7" s="1" t="s">
        <v>27</v>
      </c>
      <c r="C7" s="1" t="s">
        <v>34</v>
      </c>
      <c r="D7" s="1">
        <v>6</v>
      </c>
      <c r="E7" s="1">
        <v>32</v>
      </c>
      <c r="F7" s="1">
        <v>78</v>
      </c>
      <c r="G7" s="1">
        <v>19</v>
      </c>
      <c r="H7" t="b">
        <f t="shared" si="0"/>
        <v>0</v>
      </c>
    </row>
    <row r="8" spans="1:8" ht="15.75" customHeight="1" x14ac:dyDescent="0.25">
      <c r="A8" s="15"/>
      <c r="B8" s="1" t="s">
        <v>15</v>
      </c>
      <c r="C8" s="1" t="s">
        <v>32</v>
      </c>
      <c r="D8" s="1">
        <v>30</v>
      </c>
      <c r="E8" s="1">
        <v>13</v>
      </c>
      <c r="F8" s="1">
        <v>62</v>
      </c>
      <c r="G8" s="1">
        <v>30</v>
      </c>
      <c r="H8" t="b">
        <f t="shared" si="0"/>
        <v>1</v>
      </c>
    </row>
    <row r="9" spans="1:8" ht="15.75" customHeight="1" x14ac:dyDescent="0.25">
      <c r="A9" s="16"/>
      <c r="B9" s="1" t="s">
        <v>10</v>
      </c>
      <c r="C9" s="1" t="s">
        <v>32</v>
      </c>
      <c r="D9" s="1">
        <v>12</v>
      </c>
      <c r="E9" s="1">
        <v>21</v>
      </c>
      <c r="F9" s="1">
        <v>81</v>
      </c>
      <c r="G9" s="1">
        <v>21</v>
      </c>
      <c r="H9" t="b">
        <f t="shared" si="0"/>
        <v>0</v>
      </c>
    </row>
    <row r="10" spans="1:8" ht="15.75" customHeight="1" x14ac:dyDescent="0.25">
      <c r="A10" s="14" t="s">
        <v>6</v>
      </c>
      <c r="B10" s="1" t="s">
        <v>9</v>
      </c>
      <c r="C10" s="1" t="s">
        <v>32</v>
      </c>
      <c r="D10" s="1">
        <v>17</v>
      </c>
      <c r="E10" s="1">
        <v>14</v>
      </c>
      <c r="F10" s="1">
        <v>64</v>
      </c>
      <c r="G10" s="1">
        <v>40</v>
      </c>
      <c r="H10" t="b">
        <f t="shared" si="0"/>
        <v>1</v>
      </c>
    </row>
    <row r="11" spans="1:8" ht="15.75" customHeight="1" x14ac:dyDescent="0.25">
      <c r="A11" s="15"/>
      <c r="B11" s="1" t="s">
        <v>23</v>
      </c>
      <c r="C11" s="1" t="s">
        <v>35</v>
      </c>
      <c r="D11" s="1">
        <v>11</v>
      </c>
      <c r="E11" s="1">
        <v>28</v>
      </c>
      <c r="F11" s="1">
        <v>71</v>
      </c>
      <c r="G11" s="1">
        <v>25</v>
      </c>
      <c r="H11" t="b">
        <f t="shared" si="0"/>
        <v>0</v>
      </c>
    </row>
    <row r="12" spans="1:8" ht="15" customHeight="1" x14ac:dyDescent="0.25">
      <c r="A12" s="15"/>
      <c r="B12" s="8" t="s">
        <v>24</v>
      </c>
      <c r="C12" s="8" t="s">
        <v>35</v>
      </c>
      <c r="D12" s="8">
        <v>15</v>
      </c>
      <c r="E12" s="8">
        <v>16</v>
      </c>
      <c r="F12" s="8">
        <v>99</v>
      </c>
      <c r="G12" s="8">
        <v>5</v>
      </c>
      <c r="H12" s="9" t="b">
        <f t="shared" si="0"/>
        <v>0</v>
      </c>
    </row>
    <row r="13" spans="1:8" ht="15" customHeight="1" x14ac:dyDescent="0.25">
      <c r="A13" s="15"/>
      <c r="B13" s="1" t="s">
        <v>25</v>
      </c>
      <c r="C13" s="1" t="s">
        <v>35</v>
      </c>
      <c r="D13" s="1">
        <v>10</v>
      </c>
      <c r="E13" s="1">
        <v>60</v>
      </c>
      <c r="F13" s="1">
        <v>60</v>
      </c>
      <c r="G13" s="1">
        <v>5</v>
      </c>
      <c r="H13" t="b">
        <f t="shared" si="0"/>
        <v>0</v>
      </c>
    </row>
    <row r="14" spans="1:8" ht="15" customHeight="1" x14ac:dyDescent="0.25">
      <c r="A14" s="15"/>
      <c r="B14" s="1" t="s">
        <v>26</v>
      </c>
      <c r="C14" s="1" t="s">
        <v>32</v>
      </c>
      <c r="D14" s="1">
        <v>14</v>
      </c>
      <c r="E14" s="1">
        <v>40</v>
      </c>
      <c r="F14" s="1">
        <v>45</v>
      </c>
      <c r="G14" s="1">
        <v>36</v>
      </c>
      <c r="H14" t="b">
        <f t="shared" si="0"/>
        <v>0</v>
      </c>
    </row>
    <row r="15" spans="1:8" ht="15" customHeight="1" x14ac:dyDescent="0.25">
      <c r="A15" s="15"/>
      <c r="B15" s="1" t="s">
        <v>27</v>
      </c>
      <c r="C15" s="1" t="s">
        <v>35</v>
      </c>
      <c r="D15" s="1">
        <v>14</v>
      </c>
      <c r="E15" s="1">
        <v>24</v>
      </c>
      <c r="F15" s="1">
        <v>80</v>
      </c>
      <c r="G15" s="1">
        <v>17</v>
      </c>
      <c r="H15" t="b">
        <f t="shared" si="0"/>
        <v>0</v>
      </c>
    </row>
    <row r="16" spans="1:8" ht="15" customHeight="1" x14ac:dyDescent="0.25">
      <c r="A16" s="15"/>
      <c r="B16" s="1" t="s">
        <v>15</v>
      </c>
      <c r="C16" s="1" t="s">
        <v>32</v>
      </c>
      <c r="D16" s="1">
        <v>28</v>
      </c>
      <c r="E16" s="1">
        <v>15</v>
      </c>
      <c r="F16" s="1">
        <v>66</v>
      </c>
      <c r="G16" s="1">
        <v>26</v>
      </c>
      <c r="H16" t="b">
        <f t="shared" si="0"/>
        <v>1</v>
      </c>
    </row>
    <row r="17" spans="1:8" ht="15" customHeight="1" x14ac:dyDescent="0.25">
      <c r="A17" s="16"/>
      <c r="B17" s="1" t="s">
        <v>10</v>
      </c>
      <c r="C17" s="1" t="s">
        <v>33</v>
      </c>
      <c r="D17" s="1">
        <v>4</v>
      </c>
      <c r="E17" s="1">
        <v>29</v>
      </c>
      <c r="F17" s="1">
        <v>87</v>
      </c>
      <c r="G17" s="1">
        <v>15</v>
      </c>
      <c r="H17" t="b">
        <f t="shared" si="0"/>
        <v>0</v>
      </c>
    </row>
    <row r="18" spans="1:8" x14ac:dyDescent="0.25">
      <c r="A18" s="14" t="s">
        <v>3</v>
      </c>
      <c r="B18" s="8" t="s">
        <v>9</v>
      </c>
      <c r="C18" s="8" t="s">
        <v>32</v>
      </c>
      <c r="D18" s="8">
        <v>8</v>
      </c>
      <c r="E18" s="8">
        <v>23</v>
      </c>
      <c r="F18" s="8">
        <v>65</v>
      </c>
      <c r="G18" s="8">
        <v>39</v>
      </c>
      <c r="H18" s="9" t="b">
        <f t="shared" si="0"/>
        <v>0</v>
      </c>
    </row>
    <row r="19" spans="1:8" x14ac:dyDescent="0.25">
      <c r="A19" s="15"/>
      <c r="B19" s="10" t="s">
        <v>23</v>
      </c>
      <c r="C19" s="10" t="s">
        <v>33</v>
      </c>
      <c r="D19" s="10">
        <v>28</v>
      </c>
      <c r="E19" s="10">
        <v>11</v>
      </c>
      <c r="F19" s="10">
        <v>58</v>
      </c>
      <c r="G19" s="10">
        <v>36</v>
      </c>
      <c r="H19" s="11" t="b">
        <f t="shared" si="0"/>
        <v>1</v>
      </c>
    </row>
    <row r="20" spans="1:8" x14ac:dyDescent="0.25">
      <c r="A20" s="15"/>
      <c r="B20" s="8" t="s">
        <v>24</v>
      </c>
      <c r="C20" s="8" t="s">
        <v>34</v>
      </c>
      <c r="D20" s="8">
        <v>2</v>
      </c>
      <c r="E20" s="8">
        <v>29</v>
      </c>
      <c r="F20" s="8">
        <v>80</v>
      </c>
      <c r="G20" s="8">
        <v>24</v>
      </c>
      <c r="H20" s="9" t="b">
        <f t="shared" si="0"/>
        <v>0</v>
      </c>
    </row>
    <row r="21" spans="1:8" x14ac:dyDescent="0.25">
      <c r="A21" s="15"/>
      <c r="B21" s="10" t="s">
        <v>25</v>
      </c>
      <c r="C21" s="10" t="s">
        <v>32</v>
      </c>
      <c r="D21" s="10">
        <v>37</v>
      </c>
      <c r="E21" s="10">
        <v>33</v>
      </c>
      <c r="F21" s="10">
        <v>41</v>
      </c>
      <c r="G21" s="10">
        <v>24</v>
      </c>
      <c r="H21" s="11" t="b">
        <f t="shared" si="0"/>
        <v>1</v>
      </c>
    </row>
    <row r="22" spans="1:8" x14ac:dyDescent="0.25">
      <c r="A22" s="15"/>
      <c r="B22" s="1" t="s">
        <v>26</v>
      </c>
      <c r="C22" s="1" t="s">
        <v>33</v>
      </c>
      <c r="D22" s="1">
        <v>12</v>
      </c>
      <c r="E22" s="1">
        <v>42</v>
      </c>
      <c r="F22" s="1">
        <v>81</v>
      </c>
      <c r="G22" s="1">
        <v>0</v>
      </c>
      <c r="H22" t="b">
        <f t="shared" si="0"/>
        <v>0</v>
      </c>
    </row>
    <row r="23" spans="1:8" x14ac:dyDescent="0.25">
      <c r="A23" s="15"/>
      <c r="B23" s="1" t="s">
        <v>27</v>
      </c>
      <c r="C23" s="1" t="s">
        <v>32</v>
      </c>
      <c r="D23" s="1">
        <v>18</v>
      </c>
      <c r="E23" s="1">
        <v>20</v>
      </c>
      <c r="F23" s="1">
        <v>75</v>
      </c>
      <c r="G23" s="1">
        <v>22</v>
      </c>
      <c r="H23" t="b">
        <f t="shared" si="0"/>
        <v>0</v>
      </c>
    </row>
    <row r="24" spans="1:8" x14ac:dyDescent="0.25">
      <c r="A24" s="15"/>
      <c r="B24" s="10" t="s">
        <v>15</v>
      </c>
      <c r="C24" s="10" t="s">
        <v>32</v>
      </c>
      <c r="D24" s="10">
        <v>26</v>
      </c>
      <c r="E24" s="10">
        <v>17</v>
      </c>
      <c r="F24" s="10">
        <v>70</v>
      </c>
      <c r="G24" s="10">
        <v>22</v>
      </c>
      <c r="H24" s="11" t="b">
        <f t="shared" si="0"/>
        <v>1</v>
      </c>
    </row>
    <row r="25" spans="1:8" x14ac:dyDescent="0.25">
      <c r="A25" s="17"/>
      <c r="B25" s="10" t="s">
        <v>10</v>
      </c>
      <c r="C25" s="10" t="s">
        <v>32</v>
      </c>
      <c r="D25" s="10">
        <v>21</v>
      </c>
      <c r="E25" s="10">
        <v>12</v>
      </c>
      <c r="F25" s="10">
        <v>76</v>
      </c>
      <c r="G25" s="10">
        <v>26</v>
      </c>
      <c r="H25" s="11" t="b">
        <f t="shared" si="0"/>
        <v>1</v>
      </c>
    </row>
    <row r="26" spans="1:8" x14ac:dyDescent="0.25">
      <c r="A26" s="14" t="s">
        <v>7</v>
      </c>
      <c r="B26" s="1" t="s">
        <v>9</v>
      </c>
      <c r="C26" s="1" t="s">
        <v>32</v>
      </c>
      <c r="D26" s="1">
        <v>14</v>
      </c>
      <c r="E26" s="1">
        <v>17</v>
      </c>
      <c r="F26" s="1">
        <v>75</v>
      </c>
      <c r="G26" s="1">
        <v>29</v>
      </c>
      <c r="H26" t="b">
        <f t="shared" si="0"/>
        <v>0</v>
      </c>
    </row>
    <row r="27" spans="1:8" x14ac:dyDescent="0.25">
      <c r="A27" s="15"/>
      <c r="B27" s="1" t="s">
        <v>23</v>
      </c>
      <c r="C27" s="1" t="s">
        <v>35</v>
      </c>
      <c r="D27" s="1">
        <v>11</v>
      </c>
      <c r="E27" s="1">
        <v>28</v>
      </c>
      <c r="F27" s="1">
        <v>68</v>
      </c>
      <c r="G27" s="1">
        <v>28</v>
      </c>
      <c r="H27" t="b">
        <f t="shared" si="0"/>
        <v>0</v>
      </c>
    </row>
    <row r="28" spans="1:8" x14ac:dyDescent="0.25">
      <c r="A28" s="15"/>
      <c r="B28" s="1" t="s">
        <v>24</v>
      </c>
      <c r="C28" s="1" t="s">
        <v>34</v>
      </c>
      <c r="D28" s="1">
        <v>7</v>
      </c>
      <c r="E28" s="1">
        <v>24</v>
      </c>
      <c r="F28" s="1">
        <v>82</v>
      </c>
      <c r="G28" s="1">
        <v>22</v>
      </c>
      <c r="H28" t="b">
        <f t="shared" si="0"/>
        <v>0</v>
      </c>
    </row>
    <row r="29" spans="1:8" x14ac:dyDescent="0.25">
      <c r="A29" s="15"/>
      <c r="B29" s="1" t="s">
        <v>25</v>
      </c>
      <c r="C29" s="1" t="s">
        <v>34</v>
      </c>
      <c r="D29" s="1">
        <v>13</v>
      </c>
      <c r="E29" s="1">
        <v>57</v>
      </c>
      <c r="F29" s="1">
        <v>57</v>
      </c>
      <c r="G29" s="1">
        <v>8</v>
      </c>
      <c r="H29" t="b">
        <f t="shared" si="0"/>
        <v>0</v>
      </c>
    </row>
    <row r="30" spans="1:8" x14ac:dyDescent="0.25">
      <c r="A30" s="15"/>
      <c r="B30" s="1" t="s">
        <v>26</v>
      </c>
      <c r="C30" s="1" t="s">
        <v>33</v>
      </c>
      <c r="D30" s="1">
        <v>18</v>
      </c>
      <c r="E30" s="1">
        <v>36</v>
      </c>
      <c r="F30" s="1">
        <v>71</v>
      </c>
      <c r="G30" s="1">
        <v>10</v>
      </c>
      <c r="H30" t="b">
        <f t="shared" si="0"/>
        <v>0</v>
      </c>
    </row>
    <row r="31" spans="1:8" x14ac:dyDescent="0.25">
      <c r="A31" s="15"/>
      <c r="B31" s="1" t="s">
        <v>27</v>
      </c>
      <c r="C31" s="1" t="s">
        <v>33</v>
      </c>
      <c r="D31" s="1">
        <v>14</v>
      </c>
      <c r="E31" s="1">
        <v>24</v>
      </c>
      <c r="F31" s="1">
        <v>59</v>
      </c>
      <c r="G31" s="1">
        <v>38</v>
      </c>
      <c r="H31" t="b">
        <f t="shared" si="0"/>
        <v>0</v>
      </c>
    </row>
    <row r="32" spans="1:8" x14ac:dyDescent="0.25">
      <c r="A32" s="15"/>
      <c r="B32" s="1" t="s">
        <v>15</v>
      </c>
      <c r="C32" s="1" t="s">
        <v>32</v>
      </c>
      <c r="D32" s="1">
        <v>29</v>
      </c>
      <c r="E32" s="1">
        <v>14</v>
      </c>
      <c r="F32" s="1">
        <v>62</v>
      </c>
      <c r="G32" s="1">
        <v>30</v>
      </c>
      <c r="H32" t="b">
        <f t="shared" si="0"/>
        <v>1</v>
      </c>
    </row>
    <row r="33" spans="1:22" x14ac:dyDescent="0.25">
      <c r="A33" s="16"/>
      <c r="B33" s="1" t="s">
        <v>10</v>
      </c>
      <c r="C33" s="1" t="s">
        <v>32</v>
      </c>
      <c r="D33" s="1">
        <v>12</v>
      </c>
      <c r="E33" s="1">
        <v>21</v>
      </c>
      <c r="F33" s="1">
        <v>80</v>
      </c>
      <c r="G33" s="1">
        <v>22</v>
      </c>
      <c r="H33" t="b">
        <f t="shared" si="0"/>
        <v>0</v>
      </c>
    </row>
    <row r="34" spans="1:22" x14ac:dyDescent="0.25">
      <c r="A34" s="14" t="s">
        <v>8</v>
      </c>
      <c r="B34" s="10" t="s">
        <v>9</v>
      </c>
      <c r="C34" s="10" t="s">
        <v>32</v>
      </c>
      <c r="D34" s="10">
        <v>18</v>
      </c>
      <c r="E34" s="10">
        <v>13</v>
      </c>
      <c r="F34" s="10">
        <v>53</v>
      </c>
      <c r="G34" s="10">
        <v>51</v>
      </c>
      <c r="H34" t="b">
        <f t="shared" si="0"/>
        <v>1</v>
      </c>
    </row>
    <row r="35" spans="1:22" x14ac:dyDescent="0.25">
      <c r="A35" s="15"/>
      <c r="B35" s="1" t="s">
        <v>23</v>
      </c>
      <c r="C35" s="1" t="s">
        <v>32</v>
      </c>
      <c r="D35" s="1">
        <v>19</v>
      </c>
      <c r="E35" s="1">
        <v>20</v>
      </c>
      <c r="F35" s="1">
        <v>72</v>
      </c>
      <c r="G35" s="1">
        <v>24</v>
      </c>
      <c r="H35" t="b">
        <f t="shared" si="0"/>
        <v>0</v>
      </c>
    </row>
    <row r="36" spans="1:22" x14ac:dyDescent="0.25">
      <c r="A36" s="15"/>
      <c r="B36" s="8" t="s">
        <v>24</v>
      </c>
      <c r="C36" s="8" t="s">
        <v>36</v>
      </c>
      <c r="D36" s="8">
        <v>1</v>
      </c>
      <c r="E36" s="8">
        <v>30</v>
      </c>
      <c r="F36" s="8">
        <v>86</v>
      </c>
      <c r="G36" s="8">
        <v>18</v>
      </c>
      <c r="H36" s="9" t="b">
        <f t="shared" si="0"/>
        <v>0</v>
      </c>
    </row>
    <row r="37" spans="1:22" x14ac:dyDescent="0.25">
      <c r="A37" s="15"/>
      <c r="B37" s="1" t="s">
        <v>25</v>
      </c>
      <c r="C37" s="1" t="s">
        <v>33</v>
      </c>
      <c r="D37" s="1">
        <v>34</v>
      </c>
      <c r="E37" s="1">
        <v>36</v>
      </c>
      <c r="F37" s="1">
        <v>29</v>
      </c>
      <c r="G37" s="1">
        <v>36</v>
      </c>
      <c r="H37" t="b">
        <f t="shared" si="0"/>
        <v>0</v>
      </c>
    </row>
    <row r="38" spans="1:22" x14ac:dyDescent="0.25">
      <c r="A38" s="15"/>
      <c r="B38" s="1" t="s">
        <v>26</v>
      </c>
      <c r="C38" s="1" t="s">
        <v>34</v>
      </c>
      <c r="D38" s="1">
        <v>9</v>
      </c>
      <c r="E38" s="1">
        <v>45</v>
      </c>
      <c r="F38" s="1">
        <v>54</v>
      </c>
      <c r="G38" s="1">
        <v>27</v>
      </c>
      <c r="H38" t="b">
        <f t="shared" si="0"/>
        <v>0</v>
      </c>
    </row>
    <row r="39" spans="1:22" x14ac:dyDescent="0.25">
      <c r="A39" s="15"/>
      <c r="B39" s="10" t="s">
        <v>27</v>
      </c>
      <c r="C39" s="10" t="s">
        <v>35</v>
      </c>
      <c r="D39" s="10">
        <v>20</v>
      </c>
      <c r="E39" s="10">
        <v>18</v>
      </c>
      <c r="F39" s="10">
        <v>67</v>
      </c>
      <c r="G39" s="10">
        <v>30</v>
      </c>
      <c r="H39" s="11" t="b">
        <f t="shared" si="0"/>
        <v>1</v>
      </c>
    </row>
    <row r="40" spans="1:22" x14ac:dyDescent="0.25">
      <c r="A40" s="15"/>
      <c r="B40" s="10" t="s">
        <v>15</v>
      </c>
      <c r="C40" s="10" t="s">
        <v>36</v>
      </c>
      <c r="D40" s="10">
        <v>25</v>
      </c>
      <c r="E40" s="10">
        <v>18</v>
      </c>
      <c r="F40" s="10">
        <v>71</v>
      </c>
      <c r="G40" s="10">
        <v>21</v>
      </c>
      <c r="H40" s="11" t="b">
        <f t="shared" si="0"/>
        <v>1</v>
      </c>
    </row>
    <row r="41" spans="1:22" x14ac:dyDescent="0.25">
      <c r="A41" s="16"/>
      <c r="B41" s="1" t="s">
        <v>10</v>
      </c>
      <c r="C41" s="1" t="s">
        <v>33</v>
      </c>
      <c r="D41" s="1">
        <v>6</v>
      </c>
      <c r="E41" s="1">
        <v>27</v>
      </c>
      <c r="F41" s="1">
        <v>60</v>
      </c>
      <c r="G41" s="1">
        <v>42</v>
      </c>
      <c r="H41" t="b">
        <f t="shared" si="0"/>
        <v>0</v>
      </c>
    </row>
    <row r="44" spans="1:22" x14ac:dyDescent="0.25">
      <c r="D44" s="12"/>
      <c r="P44" s="2" t="s">
        <v>21</v>
      </c>
      <c r="Q44" s="2" t="s">
        <v>20</v>
      </c>
      <c r="R44" s="2" t="s">
        <v>22</v>
      </c>
      <c r="S44" s="2" t="s">
        <v>31</v>
      </c>
      <c r="T44" s="2" t="s">
        <v>30</v>
      </c>
      <c r="U44" s="2" t="s">
        <v>29</v>
      </c>
      <c r="V44" s="2" t="s">
        <v>28</v>
      </c>
    </row>
    <row r="45" spans="1:22" x14ac:dyDescent="0.25">
      <c r="A45" s="2" t="s">
        <v>21</v>
      </c>
      <c r="B45" s="2" t="s">
        <v>20</v>
      </c>
      <c r="C45" s="2" t="s">
        <v>22</v>
      </c>
      <c r="D45" s="2" t="s">
        <v>31</v>
      </c>
      <c r="E45" s="2" t="s">
        <v>30</v>
      </c>
      <c r="F45" s="2" t="s">
        <v>29</v>
      </c>
      <c r="G45" s="2" t="s">
        <v>28</v>
      </c>
      <c r="P45" s="1" t="s">
        <v>24</v>
      </c>
      <c r="Q45" s="1" t="s">
        <v>5</v>
      </c>
      <c r="R45" s="1" t="s">
        <v>33</v>
      </c>
      <c r="S45" s="1">
        <v>4</v>
      </c>
      <c r="T45" s="1">
        <v>27</v>
      </c>
      <c r="U45" s="1">
        <v>90</v>
      </c>
      <c r="V45" s="1">
        <v>14</v>
      </c>
    </row>
    <row r="46" spans="1:22" x14ac:dyDescent="0.25">
      <c r="A46" s="13" t="s">
        <v>9</v>
      </c>
      <c r="B46" s="13" t="s">
        <v>3</v>
      </c>
      <c r="C46" s="13" t="s">
        <v>32</v>
      </c>
      <c r="D46" s="13">
        <v>18</v>
      </c>
      <c r="E46" s="13">
        <v>13</v>
      </c>
      <c r="F46" s="13">
        <v>53</v>
      </c>
      <c r="G46" s="13">
        <v>51</v>
      </c>
      <c r="P46" s="1" t="s">
        <v>26</v>
      </c>
      <c r="Q46" s="1" t="s">
        <v>7</v>
      </c>
      <c r="R46" s="1" t="s">
        <v>33</v>
      </c>
      <c r="S46" s="1">
        <v>18</v>
      </c>
      <c r="T46" s="1">
        <v>36</v>
      </c>
      <c r="U46" s="1">
        <v>71</v>
      </c>
      <c r="V46" s="1">
        <v>10</v>
      </c>
    </row>
    <row r="47" spans="1:22" x14ac:dyDescent="0.25">
      <c r="A47" s="13" t="s">
        <v>23</v>
      </c>
      <c r="B47" s="13" t="s">
        <v>8</v>
      </c>
      <c r="C47" s="13" t="s">
        <v>33</v>
      </c>
      <c r="D47" s="13">
        <v>28</v>
      </c>
      <c r="E47" s="13">
        <v>11</v>
      </c>
      <c r="F47" s="13">
        <v>58</v>
      </c>
      <c r="G47" s="13">
        <v>36</v>
      </c>
    </row>
    <row r="48" spans="1:22" x14ac:dyDescent="0.25">
      <c r="A48" s="13" t="s">
        <v>25</v>
      </c>
      <c r="B48" s="13" t="s">
        <v>3</v>
      </c>
      <c r="C48" s="13" t="s">
        <v>32</v>
      </c>
      <c r="D48" s="13">
        <v>37</v>
      </c>
      <c r="E48" s="13">
        <v>33</v>
      </c>
      <c r="F48" s="13">
        <v>41</v>
      </c>
      <c r="G48" s="13">
        <v>24</v>
      </c>
      <c r="K48" s="1" t="s">
        <v>24</v>
      </c>
    </row>
    <row r="49" spans="1:11" x14ac:dyDescent="0.25">
      <c r="A49" s="13" t="s">
        <v>27</v>
      </c>
      <c r="B49" s="13" t="s">
        <v>8</v>
      </c>
      <c r="C49" s="13" t="s">
        <v>35</v>
      </c>
      <c r="D49" s="13">
        <v>20</v>
      </c>
      <c r="E49" s="13">
        <v>18</v>
      </c>
      <c r="F49" s="13">
        <v>67</v>
      </c>
      <c r="G49" s="13">
        <v>30</v>
      </c>
      <c r="K49" s="1" t="s">
        <v>26</v>
      </c>
    </row>
    <row r="50" spans="1:11" x14ac:dyDescent="0.25">
      <c r="A50" s="13" t="s">
        <v>15</v>
      </c>
      <c r="B50" s="13" t="s">
        <v>3</v>
      </c>
      <c r="C50" s="13" t="s">
        <v>32</v>
      </c>
      <c r="D50" s="13">
        <v>26</v>
      </c>
      <c r="E50" s="13">
        <v>17</v>
      </c>
      <c r="F50" s="13">
        <v>70</v>
      </c>
      <c r="G50" s="13">
        <v>22</v>
      </c>
    </row>
    <row r="51" spans="1:11" ht="15.75" x14ac:dyDescent="0.25">
      <c r="A51" s="1" t="s">
        <v>10</v>
      </c>
      <c r="B51" s="7" t="s">
        <v>3</v>
      </c>
      <c r="C51" s="1" t="s">
        <v>32</v>
      </c>
      <c r="D51" s="1">
        <v>21</v>
      </c>
      <c r="E51" s="1">
        <v>12</v>
      </c>
      <c r="F51" s="1">
        <v>76</v>
      </c>
      <c r="G51" s="1">
        <v>26</v>
      </c>
    </row>
    <row r="59" spans="1:11" x14ac:dyDescent="0.25">
      <c r="C59">
        <f>(D9+F9)/(D9+E9+F9+G9)*100</f>
        <v>68.888888888888886</v>
      </c>
    </row>
    <row r="60" spans="1:11" x14ac:dyDescent="0.25">
      <c r="C60">
        <f>(D17+F17)/(D17+E17+F17+G17)*100</f>
        <v>67.407407407407405</v>
      </c>
    </row>
    <row r="61" spans="1:11" x14ac:dyDescent="0.25">
      <c r="C61">
        <f>(D25+F25)/(D25+E25+F25+G11)*100</f>
        <v>72.388059701492537</v>
      </c>
    </row>
    <row r="62" spans="1:11" x14ac:dyDescent="0.25">
      <c r="C62">
        <f t="shared" ref="C62:C63" si="1">(D12+F12)/(D12+E12+F12+G12)*100</f>
        <v>84.444444444444443</v>
      </c>
    </row>
    <row r="63" spans="1:11" x14ac:dyDescent="0.25">
      <c r="C63">
        <f t="shared" si="1"/>
        <v>51.851851851851848</v>
      </c>
    </row>
  </sheetData>
  <autoFilter ref="A1:H41" xr:uid="{046EAF62-76FD-4510-A652-61FF58756BCF}"/>
  <mergeCells count="5"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 Opperman</dc:creator>
  <cp:lastModifiedBy>Christo Opperman</cp:lastModifiedBy>
  <dcterms:created xsi:type="dcterms:W3CDTF">2026-04-15T08:13:28Z</dcterms:created>
  <dcterms:modified xsi:type="dcterms:W3CDTF">2026-04-18T19:25:26Z</dcterms:modified>
</cp:coreProperties>
</file>