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8498c2a7fab902e/tuks/master/code/Laptop/Data/Datasets/Output/"/>
    </mc:Choice>
  </mc:AlternateContent>
  <xr:revisionPtr revIDLastSave="399" documentId="11_F25DC773A252ABDACC1048A2915872405ADE58F3" xr6:coauthVersionLast="47" xr6:coauthVersionMax="47" xr10:uidLastSave="{92541435-0D08-4B6D-91A4-8A470CBE099E}"/>
  <bookViews>
    <workbookView xWindow="10020" yWindow="3480" windowWidth="19200" windowHeight="10035" activeTab="3" xr2:uid="{00000000-000D-0000-FFFF-FFFF00000000}"/>
  </bookViews>
  <sheets>
    <sheet name="Training meta-feature" sheetId="2" r:id="rId1"/>
    <sheet name="Testing meta-feature" sheetId="4" r:id="rId2"/>
    <sheet name="Training ranks" sheetId="3" r:id="rId3"/>
    <sheet name="Testing rank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5" l="1"/>
  <c r="E8" i="5"/>
  <c r="E5" i="5"/>
  <c r="E6" i="5"/>
  <c r="E7" i="5"/>
  <c r="E9" i="5"/>
  <c r="E10" i="5"/>
  <c r="E11" i="5"/>
  <c r="E12" i="5"/>
  <c r="E4" i="5"/>
  <c r="G5" i="5"/>
  <c r="G6" i="5"/>
  <c r="G7" i="5"/>
  <c r="G9" i="5"/>
  <c r="G10" i="5"/>
  <c r="G11" i="5"/>
  <c r="G12" i="5"/>
  <c r="G4" i="5"/>
  <c r="I5" i="5"/>
  <c r="I6" i="5"/>
  <c r="I7" i="5"/>
  <c r="I8" i="5"/>
  <c r="I9" i="5"/>
  <c r="I10" i="5"/>
  <c r="I11" i="5"/>
  <c r="I12" i="5"/>
  <c r="I4" i="5"/>
  <c r="I5" i="3"/>
  <c r="I6" i="3"/>
  <c r="I7" i="3"/>
  <c r="I4" i="3"/>
  <c r="I9" i="3"/>
  <c r="I10" i="3"/>
  <c r="I11" i="3"/>
  <c r="I12" i="3"/>
  <c r="I8" i="3"/>
</calcChain>
</file>

<file path=xl/sharedStrings.xml><?xml version="1.0" encoding="utf-8"?>
<sst xmlns="http://schemas.openxmlformats.org/spreadsheetml/2006/main" count="91" uniqueCount="46">
  <si>
    <t>25%</t>
  </si>
  <si>
    <t>50%</t>
  </si>
  <si>
    <t>75%</t>
  </si>
  <si>
    <t>Average rank</t>
  </si>
  <si>
    <t>Number of times the technique is the best</t>
  </si>
  <si>
    <t>Number of times the technique is the worst</t>
  </si>
  <si>
    <t>Times the technique can’t be used</t>
  </si>
  <si>
    <t>Baseline</t>
  </si>
  <si>
    <t>Batch normalisation</t>
  </si>
  <si>
    <t xml:space="preserve">SMOTE </t>
  </si>
  <si>
    <t>Techinques</t>
  </si>
  <si>
    <t>Count</t>
  </si>
  <si>
    <t>Percent(%)</t>
  </si>
  <si>
    <t xml:space="preserve">Dropout </t>
  </si>
  <si>
    <t>Layer normalisation</t>
  </si>
  <si>
    <t>Prune</t>
  </si>
  <si>
    <t>Weight decay</t>
  </si>
  <si>
    <t>Weight normalisation</t>
  </si>
  <si>
    <t>Weight perturbation</t>
  </si>
  <si>
    <t>2.000000</t>
  </si>
  <si>
    <t>Number of features</t>
  </si>
  <si>
    <t>Number of instances</t>
  </si>
  <si>
    <t>Number of classes</t>
  </si>
  <si>
    <t>Proportion of numeric features</t>
  </si>
  <si>
    <t>Proportion of features with outliers</t>
  </si>
  <si>
    <t>Ratio of instances to features</t>
  </si>
  <si>
    <t>Ratio of classes to features</t>
  </si>
  <si>
    <t>Ratio of instances to classes</t>
  </si>
  <si>
    <t>Ratio of min to max instances per class</t>
  </si>
  <si>
    <t>Average mutual information</t>
  </si>
  <si>
    <t>Minimum mutual information</t>
  </si>
  <si>
    <t>Maximum mutual information</t>
  </si>
  <si>
    <t>Noise to signal ratio of features</t>
  </si>
  <si>
    <t>Mean</t>
  </si>
  <si>
    <t>Std</t>
  </si>
  <si>
    <t>Min</t>
  </si>
  <si>
    <t>Max</t>
  </si>
  <si>
    <t>STD</t>
  </si>
  <si>
    <t>2.253333</t>
  </si>
  <si>
    <t>2.433333</t>
  </si>
  <si>
    <t>2.666667</t>
  </si>
  <si>
    <t>3.060000</t>
  </si>
  <si>
    <t>4.746667</t>
  </si>
  <si>
    <t>3.840000</t>
  </si>
  <si>
    <t>4.433333</t>
  </si>
  <si>
    <t>1.640000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</si>
</sst>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2" fontId="0" fillId="0" borderId="1" xfId="0" applyNumberFormat="1" applyBorder="1"/>
    <xf numFmtId="0" fontId="3" fillId="0" borderId="1" xfId="0" applyFont="1" applyBorder="1"/>
    <xf numFmtId="2" fontId="2" fillId="0" borderId="1" xfId="0" applyNumberFormat="1" applyFont="1" applyBorder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1266B-A28A-4BC3-B990-232D97C39691}">
  <dimension ref="B2:J15"/>
  <sheetViews>
    <sheetView workbookViewId="0">
      <selection activeCell="C2" sqref="C2:J2"/>
    </sheetView>
  </sheetViews>
  <sheetFormatPr defaultRowHeight="14.5" x14ac:dyDescent="0.35"/>
  <cols>
    <col min="2" max="2" width="35.26953125" bestFit="1" customWidth="1"/>
    <col min="10" max="10" width="9.54296875" bestFit="1" customWidth="1"/>
  </cols>
  <sheetData>
    <row r="2" spans="2:10" x14ac:dyDescent="0.35">
      <c r="B2" s="2"/>
      <c r="C2" s="2" t="s">
        <v>11</v>
      </c>
      <c r="D2" s="2" t="s">
        <v>33</v>
      </c>
      <c r="E2" s="2" t="s">
        <v>34</v>
      </c>
      <c r="F2" s="2" t="s">
        <v>35</v>
      </c>
      <c r="G2" s="2" t="s">
        <v>0</v>
      </c>
      <c r="H2" s="2" t="s">
        <v>1</v>
      </c>
      <c r="I2" s="2" t="s">
        <v>2</v>
      </c>
      <c r="J2" s="2" t="s">
        <v>36</v>
      </c>
    </row>
    <row r="3" spans="2:10" x14ac:dyDescent="0.35">
      <c r="B3" s="2" t="s">
        <v>20</v>
      </c>
      <c r="C3" s="1">
        <v>255</v>
      </c>
      <c r="D3" s="3">
        <v>13.266667</v>
      </c>
      <c r="E3" s="3">
        <v>4.9881219999999997</v>
      </c>
      <c r="F3" s="3">
        <v>4</v>
      </c>
      <c r="G3" s="3">
        <v>10</v>
      </c>
      <c r="H3" s="3">
        <v>13</v>
      </c>
      <c r="I3" s="3">
        <v>18</v>
      </c>
      <c r="J3" s="3">
        <v>22</v>
      </c>
    </row>
    <row r="4" spans="2:10" x14ac:dyDescent="0.35">
      <c r="B4" s="2" t="s">
        <v>23</v>
      </c>
      <c r="C4" s="1">
        <v>255</v>
      </c>
      <c r="D4" s="3">
        <v>0.730908</v>
      </c>
      <c r="E4" s="3">
        <v>0.33008999999999999</v>
      </c>
      <c r="F4" s="3">
        <v>0</v>
      </c>
      <c r="G4" s="3">
        <v>0.532389</v>
      </c>
      <c r="H4" s="3">
        <v>0.88888900000000004</v>
      </c>
      <c r="I4" s="3">
        <v>1</v>
      </c>
      <c r="J4" s="3">
        <v>1</v>
      </c>
    </row>
    <row r="5" spans="2:10" x14ac:dyDescent="0.35">
      <c r="B5" s="2" t="s">
        <v>21</v>
      </c>
      <c r="C5" s="1">
        <v>255</v>
      </c>
      <c r="D5" s="3">
        <v>4005.7725489999998</v>
      </c>
      <c r="E5" s="3">
        <v>4264.869737</v>
      </c>
      <c r="F5" s="3">
        <v>97</v>
      </c>
      <c r="G5" s="3">
        <v>843.5</v>
      </c>
      <c r="H5" s="3">
        <v>2392</v>
      </c>
      <c r="I5" s="3">
        <v>5638</v>
      </c>
      <c r="J5" s="3">
        <v>18905</v>
      </c>
    </row>
    <row r="6" spans="2:10" x14ac:dyDescent="0.35">
      <c r="B6" s="2" t="s">
        <v>22</v>
      </c>
      <c r="C6" s="1">
        <v>255</v>
      </c>
      <c r="D6" s="3">
        <v>4.2901959999999999</v>
      </c>
      <c r="E6" s="3">
        <v>2.389713</v>
      </c>
      <c r="F6" s="3">
        <v>2</v>
      </c>
      <c r="G6" s="3">
        <v>2</v>
      </c>
      <c r="H6" s="3">
        <v>4</v>
      </c>
      <c r="I6" s="3">
        <v>6</v>
      </c>
      <c r="J6" s="3">
        <v>10</v>
      </c>
    </row>
    <row r="7" spans="2:10" x14ac:dyDescent="0.35">
      <c r="B7" s="2" t="s">
        <v>25</v>
      </c>
      <c r="C7" s="1">
        <v>255</v>
      </c>
      <c r="D7" s="3">
        <v>396.90548200000001</v>
      </c>
      <c r="E7" s="3">
        <v>612.92518500000006</v>
      </c>
      <c r="F7" s="3">
        <v>5.6666670000000003</v>
      </c>
      <c r="G7" s="3">
        <v>75.482322999999994</v>
      </c>
      <c r="H7" s="3">
        <v>192</v>
      </c>
      <c r="I7" s="3">
        <v>447.328283</v>
      </c>
      <c r="J7" s="3">
        <v>3781</v>
      </c>
    </row>
    <row r="8" spans="2:10" x14ac:dyDescent="0.35">
      <c r="B8" s="2" t="s">
        <v>26</v>
      </c>
      <c r="C8" s="1">
        <v>255</v>
      </c>
      <c r="D8" s="3">
        <v>0.36656100000000003</v>
      </c>
      <c r="E8" s="3">
        <v>0.22232499999999999</v>
      </c>
      <c r="F8" s="3">
        <v>9.0909000000000004E-2</v>
      </c>
      <c r="G8" s="3">
        <v>0.2</v>
      </c>
      <c r="H8" s="3">
        <v>0.36363600000000001</v>
      </c>
      <c r="I8" s="3">
        <v>0.5</v>
      </c>
      <c r="J8" s="3">
        <v>1.4</v>
      </c>
    </row>
    <row r="9" spans="2:10" x14ac:dyDescent="0.35">
      <c r="B9" s="2" t="s">
        <v>27</v>
      </c>
      <c r="C9" s="1">
        <v>255</v>
      </c>
      <c r="D9" s="3">
        <v>1321.087213</v>
      </c>
      <c r="E9" s="3">
        <v>1935.8598019999999</v>
      </c>
      <c r="F9" s="3">
        <v>25.375</v>
      </c>
      <c r="G9" s="3">
        <v>226.5</v>
      </c>
      <c r="H9" s="3">
        <v>478.4</v>
      </c>
      <c r="I9" s="3">
        <v>1389.375</v>
      </c>
      <c r="J9" s="3">
        <v>9452.5</v>
      </c>
    </row>
    <row r="10" spans="2:10" x14ac:dyDescent="0.35">
      <c r="B10" s="2" t="s">
        <v>28</v>
      </c>
      <c r="C10" s="1">
        <v>255</v>
      </c>
      <c r="D10" s="3">
        <v>0.447737</v>
      </c>
      <c r="E10" s="3">
        <v>0.39525700000000002</v>
      </c>
      <c r="F10" s="3">
        <v>2.7959999999999999E-3</v>
      </c>
      <c r="G10" s="3">
        <v>7.3436000000000001E-2</v>
      </c>
      <c r="H10" s="3">
        <v>0.53125</v>
      </c>
      <c r="I10" s="3">
        <v>0.92041300000000004</v>
      </c>
      <c r="J10" s="3">
        <v>0.99905299999999997</v>
      </c>
    </row>
    <row r="11" spans="2:10" x14ac:dyDescent="0.35">
      <c r="B11" s="2" t="s">
        <v>24</v>
      </c>
      <c r="C11" s="1">
        <v>255</v>
      </c>
      <c r="D11" s="3">
        <v>0.52488800000000002</v>
      </c>
      <c r="E11" s="3">
        <v>0.37944600000000001</v>
      </c>
      <c r="F11" s="3">
        <v>0</v>
      </c>
      <c r="G11" s="3">
        <v>0.17269699999999999</v>
      </c>
      <c r="H11" s="3">
        <v>0.55555600000000005</v>
      </c>
      <c r="I11" s="3">
        <v>0.90909099999999998</v>
      </c>
      <c r="J11" s="3">
        <v>1</v>
      </c>
    </row>
    <row r="12" spans="2:10" x14ac:dyDescent="0.35">
      <c r="B12" s="2" t="s">
        <v>29</v>
      </c>
      <c r="C12" s="1">
        <v>255</v>
      </c>
      <c r="D12" s="3">
        <v>0.15047099999999999</v>
      </c>
      <c r="E12" s="3">
        <v>0.17594499999999999</v>
      </c>
      <c r="F12" s="3">
        <v>1.8519999999999999E-3</v>
      </c>
      <c r="G12" s="3">
        <v>4.6026999999999998E-2</v>
      </c>
      <c r="H12" s="3">
        <v>8.7111999999999995E-2</v>
      </c>
      <c r="I12" s="3">
        <v>0.160083</v>
      </c>
      <c r="J12" s="3">
        <v>0.85407900000000003</v>
      </c>
    </row>
    <row r="13" spans="2:10" x14ac:dyDescent="0.35">
      <c r="B13" s="2" t="s">
        <v>30</v>
      </c>
      <c r="C13" s="1">
        <v>255</v>
      </c>
      <c r="D13" s="3">
        <v>2.5855E-2</v>
      </c>
      <c r="E13" s="3">
        <v>5.5148000000000003E-2</v>
      </c>
      <c r="F13" s="3">
        <v>0</v>
      </c>
      <c r="G13" s="3">
        <v>0</v>
      </c>
      <c r="H13" s="3">
        <v>5.0400000000000002E-3</v>
      </c>
      <c r="I13" s="3">
        <v>1.8963000000000001E-2</v>
      </c>
      <c r="J13" s="3">
        <v>0.26234499999999999</v>
      </c>
    </row>
    <row r="14" spans="2:10" x14ac:dyDescent="0.35">
      <c r="B14" s="2" t="s">
        <v>31</v>
      </c>
      <c r="C14" s="1">
        <v>255</v>
      </c>
      <c r="D14" s="3">
        <v>0.37749500000000002</v>
      </c>
      <c r="E14" s="3">
        <v>0.335922</v>
      </c>
      <c r="F14" s="3">
        <v>1.5743E-2</v>
      </c>
      <c r="G14" s="3">
        <v>0.106432</v>
      </c>
      <c r="H14" s="3">
        <v>0.19114700000000001</v>
      </c>
      <c r="I14" s="3">
        <v>0.65373700000000001</v>
      </c>
      <c r="J14" s="3">
        <v>1.2293229999999999</v>
      </c>
    </row>
    <row r="15" spans="2:10" x14ac:dyDescent="0.35">
      <c r="B15" s="2" t="s">
        <v>32</v>
      </c>
      <c r="C15" s="1">
        <v>255</v>
      </c>
      <c r="D15" s="3">
        <v>1.724351</v>
      </c>
      <c r="E15" s="3">
        <v>7.3598720000000002</v>
      </c>
      <c r="F15" s="3">
        <v>-0.90814600000000001</v>
      </c>
      <c r="G15" s="3">
        <v>-0.66250799999999999</v>
      </c>
      <c r="H15" s="3">
        <v>-9.9806000000000006E-2</v>
      </c>
      <c r="I15" s="3">
        <v>1.1003970000000001</v>
      </c>
      <c r="J15" s="3">
        <v>73.776264999999995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DE5F7-0388-4890-BEEA-DA45A24E24CC}">
  <dimension ref="B2:J15"/>
  <sheetViews>
    <sheetView workbookViewId="0">
      <selection activeCell="C29" sqref="C29"/>
    </sheetView>
  </sheetViews>
  <sheetFormatPr defaultRowHeight="14.5" x14ac:dyDescent="0.35"/>
  <cols>
    <col min="2" max="2" width="35.26953125" bestFit="1" customWidth="1"/>
    <col min="3" max="3" width="7.7265625" customWidth="1"/>
    <col min="10" max="10" width="9.54296875" bestFit="1" customWidth="1"/>
  </cols>
  <sheetData>
    <row r="2" spans="2:10" x14ac:dyDescent="0.35">
      <c r="B2" s="2"/>
      <c r="C2" s="8" t="s">
        <v>11</v>
      </c>
      <c r="D2" s="8" t="s">
        <v>33</v>
      </c>
      <c r="E2" s="8" t="s">
        <v>37</v>
      </c>
      <c r="F2" s="8" t="s">
        <v>35</v>
      </c>
      <c r="G2" s="8" t="s">
        <v>0</v>
      </c>
      <c r="H2" s="8" t="s">
        <v>1</v>
      </c>
      <c r="I2" s="8" t="s">
        <v>2</v>
      </c>
      <c r="J2" s="8" t="s">
        <v>36</v>
      </c>
    </row>
    <row r="3" spans="2:10" x14ac:dyDescent="0.35">
      <c r="B3" s="2" t="s">
        <v>20</v>
      </c>
      <c r="C3" s="9">
        <v>150</v>
      </c>
      <c r="D3" s="3">
        <v>12.433332999999999</v>
      </c>
      <c r="E3" s="3">
        <v>4.7493080000000001</v>
      </c>
      <c r="F3" s="3">
        <v>3</v>
      </c>
      <c r="G3" s="3">
        <v>8</v>
      </c>
      <c r="H3" s="3">
        <v>12</v>
      </c>
      <c r="I3" s="3">
        <v>16</v>
      </c>
      <c r="J3" s="3">
        <v>21</v>
      </c>
    </row>
    <row r="4" spans="2:10" x14ac:dyDescent="0.35">
      <c r="B4" s="2" t="s">
        <v>23</v>
      </c>
      <c r="C4" s="9">
        <v>150</v>
      </c>
      <c r="D4" s="3">
        <v>0.93115099999999995</v>
      </c>
      <c r="E4" s="3">
        <v>0.156642</v>
      </c>
      <c r="F4" s="3">
        <v>0.375</v>
      </c>
      <c r="G4" s="3">
        <v>1</v>
      </c>
      <c r="H4" s="3">
        <v>1</v>
      </c>
      <c r="I4" s="3">
        <v>1</v>
      </c>
      <c r="J4" s="3">
        <v>1</v>
      </c>
    </row>
    <row r="5" spans="2:10" x14ac:dyDescent="0.35">
      <c r="B5" s="2" t="s">
        <v>21</v>
      </c>
      <c r="C5" s="9">
        <v>150</v>
      </c>
      <c r="D5" s="3">
        <v>3145.8066669999998</v>
      </c>
      <c r="E5" s="3">
        <v>3938.0780370000002</v>
      </c>
      <c r="F5" s="3">
        <v>101</v>
      </c>
      <c r="G5" s="3">
        <v>340</v>
      </c>
      <c r="H5" s="3">
        <v>1024</v>
      </c>
      <c r="I5" s="3">
        <v>5000</v>
      </c>
      <c r="J5" s="3">
        <v>13543</v>
      </c>
    </row>
    <row r="6" spans="2:10" x14ac:dyDescent="0.35">
      <c r="B6" s="2" t="s">
        <v>22</v>
      </c>
      <c r="C6" s="9">
        <v>150</v>
      </c>
      <c r="D6" s="3">
        <v>4.9133329999999997</v>
      </c>
      <c r="E6" s="3">
        <v>3.1854040000000001</v>
      </c>
      <c r="F6" s="3">
        <v>2</v>
      </c>
      <c r="G6" s="3">
        <v>2</v>
      </c>
      <c r="H6" s="3">
        <v>3</v>
      </c>
      <c r="I6" s="3">
        <v>7</v>
      </c>
      <c r="J6" s="3">
        <v>11</v>
      </c>
    </row>
    <row r="7" spans="2:10" x14ac:dyDescent="0.35">
      <c r="B7" s="2" t="s">
        <v>25</v>
      </c>
      <c r="C7" s="9">
        <v>150</v>
      </c>
      <c r="D7" s="3">
        <v>234.80053899999999</v>
      </c>
      <c r="E7" s="3">
        <v>295.08460100000002</v>
      </c>
      <c r="F7" s="3">
        <v>7.375</v>
      </c>
      <c r="G7" s="3">
        <v>44.477679000000002</v>
      </c>
      <c r="H7" s="3">
        <v>113.777778</v>
      </c>
      <c r="I7" s="3">
        <v>304.379412</v>
      </c>
      <c r="J7" s="3">
        <v>1504.7777779999999</v>
      </c>
    </row>
    <row r="8" spans="2:10" x14ac:dyDescent="0.35">
      <c r="B8" s="2" t="s">
        <v>26</v>
      </c>
      <c r="C8" s="9">
        <v>150</v>
      </c>
      <c r="D8" s="3">
        <v>0.54926399999999997</v>
      </c>
      <c r="E8" s="3">
        <v>0.60576799999999997</v>
      </c>
      <c r="F8" s="3">
        <v>0.1</v>
      </c>
      <c r="G8" s="3">
        <v>0.154167</v>
      </c>
      <c r="H8" s="3">
        <v>0.279221</v>
      </c>
      <c r="I8" s="3">
        <v>0.74107100000000004</v>
      </c>
      <c r="J8" s="3">
        <v>3.3333330000000001</v>
      </c>
    </row>
    <row r="9" spans="2:10" x14ac:dyDescent="0.35">
      <c r="B9" s="2" t="s">
        <v>27</v>
      </c>
      <c r="C9" s="9">
        <v>150</v>
      </c>
      <c r="D9" s="3">
        <v>1091.9871169999999</v>
      </c>
      <c r="E9" s="3">
        <v>1606.7706989999999</v>
      </c>
      <c r="F9" s="3">
        <v>11.6</v>
      </c>
      <c r="G9" s="3">
        <v>90</v>
      </c>
      <c r="H9" s="3">
        <v>289.97500000000002</v>
      </c>
      <c r="I9" s="3">
        <v>1666.666667</v>
      </c>
      <c r="J9" s="3">
        <v>6102.5</v>
      </c>
    </row>
    <row r="10" spans="2:10" x14ac:dyDescent="0.35">
      <c r="B10" s="2" t="s">
        <v>28</v>
      </c>
      <c r="C10" s="9">
        <v>150</v>
      </c>
      <c r="D10" s="3">
        <v>0.5514</v>
      </c>
      <c r="E10" s="3">
        <v>0.36686099999999999</v>
      </c>
      <c r="F10" s="3">
        <v>1.1416000000000001E-2</v>
      </c>
      <c r="G10" s="3">
        <v>0.185365</v>
      </c>
      <c r="H10" s="3">
        <v>0.61941000000000002</v>
      </c>
      <c r="I10" s="3">
        <v>0.97110799999999997</v>
      </c>
      <c r="J10" s="3">
        <v>1</v>
      </c>
    </row>
    <row r="11" spans="2:10" x14ac:dyDescent="0.35">
      <c r="B11" s="2" t="s">
        <v>24</v>
      </c>
      <c r="C11" s="9">
        <v>150</v>
      </c>
      <c r="D11" s="3">
        <v>0.51933600000000002</v>
      </c>
      <c r="E11" s="3">
        <v>0.43371399999999999</v>
      </c>
      <c r="F11" s="3">
        <v>0</v>
      </c>
      <c r="G11" s="3">
        <v>0</v>
      </c>
      <c r="H11" s="3">
        <v>0.53571400000000002</v>
      </c>
      <c r="I11" s="3">
        <v>1</v>
      </c>
      <c r="J11" s="3">
        <v>1</v>
      </c>
    </row>
    <row r="12" spans="2:10" x14ac:dyDescent="0.35">
      <c r="B12" s="2" t="s">
        <v>29</v>
      </c>
      <c r="C12" s="9">
        <v>150</v>
      </c>
      <c r="D12" s="3">
        <v>0.18071799999999999</v>
      </c>
      <c r="E12" s="3">
        <v>0.21107899999999999</v>
      </c>
      <c r="F12" s="3">
        <v>1.2571000000000001E-2</v>
      </c>
      <c r="G12" s="3">
        <v>4.0612000000000002E-2</v>
      </c>
      <c r="H12" s="3">
        <v>9.2968999999999996E-2</v>
      </c>
      <c r="I12" s="3">
        <v>0.25511800000000001</v>
      </c>
      <c r="J12" s="3">
        <v>0.87481799999999998</v>
      </c>
    </row>
    <row r="13" spans="2:10" x14ac:dyDescent="0.35">
      <c r="B13" s="2" t="s">
        <v>30</v>
      </c>
      <c r="C13" s="9">
        <v>150</v>
      </c>
      <c r="D13" s="3">
        <v>2.8031E-2</v>
      </c>
      <c r="E13" s="3">
        <v>5.9382999999999998E-2</v>
      </c>
      <c r="F13" s="3">
        <v>0</v>
      </c>
      <c r="G13" s="3">
        <v>0</v>
      </c>
      <c r="H13" s="3">
        <v>3.77E-4</v>
      </c>
      <c r="I13" s="3">
        <v>2.0868000000000001E-2</v>
      </c>
      <c r="J13" s="3">
        <v>0.36305500000000002</v>
      </c>
    </row>
    <row r="14" spans="2:10" x14ac:dyDescent="0.35">
      <c r="B14" s="2" t="s">
        <v>31</v>
      </c>
      <c r="C14" s="9">
        <v>150</v>
      </c>
      <c r="D14" s="3">
        <v>0.39786700000000003</v>
      </c>
      <c r="E14" s="3">
        <v>0.39238899999999999</v>
      </c>
      <c r="F14" s="3">
        <v>3.6874999999999998E-2</v>
      </c>
      <c r="G14" s="3">
        <v>0.10639999999999999</v>
      </c>
      <c r="H14" s="3">
        <v>0.18043600000000001</v>
      </c>
      <c r="I14" s="3">
        <v>0.719051</v>
      </c>
      <c r="J14" s="3">
        <v>1.2643660000000001</v>
      </c>
    </row>
    <row r="15" spans="2:10" x14ac:dyDescent="0.35">
      <c r="B15" s="2" t="s">
        <v>32</v>
      </c>
      <c r="C15" s="9">
        <v>150</v>
      </c>
      <c r="D15" s="3">
        <v>1.229044</v>
      </c>
      <c r="E15" s="3">
        <v>0.32252999999999998</v>
      </c>
      <c r="F15" s="3">
        <v>1.0126500000000001</v>
      </c>
      <c r="G15" s="3">
        <v>1.0414479999999999</v>
      </c>
      <c r="H15" s="3">
        <v>1.0974280000000001</v>
      </c>
      <c r="I15" s="3">
        <v>1.290632</v>
      </c>
      <c r="J15" s="3">
        <v>2.3984380000000001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82CAE-0D25-43BC-94BB-81C8EE4EF796}">
  <dimension ref="B2:I12"/>
  <sheetViews>
    <sheetView zoomScaleNormal="100" workbookViewId="0">
      <selection activeCell="B2" sqref="B2:I12"/>
    </sheetView>
  </sheetViews>
  <sheetFormatPr defaultRowHeight="14.5" x14ac:dyDescent="0.35"/>
  <cols>
    <col min="2" max="2" width="20.54296875" bestFit="1" customWidth="1"/>
    <col min="3" max="3" width="12.81640625" bestFit="1" customWidth="1"/>
    <col min="4" max="5" width="10.81640625" bestFit="1" customWidth="1"/>
    <col min="6" max="6" width="12" bestFit="1" customWidth="1"/>
    <col min="7" max="7" width="10.81640625" bestFit="1" customWidth="1"/>
    <col min="9" max="9" width="12" bestFit="1" customWidth="1"/>
  </cols>
  <sheetData>
    <row r="2" spans="2:9" ht="30.75" customHeight="1" x14ac:dyDescent="0.35">
      <c r="B2" s="11" t="s">
        <v>10</v>
      </c>
      <c r="C2" s="11" t="s">
        <v>3</v>
      </c>
      <c r="D2" s="13" t="s">
        <v>4</v>
      </c>
      <c r="E2" s="14"/>
      <c r="F2" s="13" t="s">
        <v>5</v>
      </c>
      <c r="G2" s="14"/>
      <c r="H2" s="10" t="s">
        <v>6</v>
      </c>
      <c r="I2" s="10"/>
    </row>
    <row r="3" spans="2:9" ht="17.25" customHeight="1" x14ac:dyDescent="0.35">
      <c r="B3" s="12"/>
      <c r="C3" s="12"/>
      <c r="D3" s="8" t="s">
        <v>11</v>
      </c>
      <c r="E3" s="8" t="s">
        <v>12</v>
      </c>
      <c r="F3" s="8" t="s">
        <v>11</v>
      </c>
      <c r="G3" s="8" t="s">
        <v>12</v>
      </c>
      <c r="H3" s="8" t="s">
        <v>11</v>
      </c>
      <c r="I3" s="8" t="s">
        <v>12</v>
      </c>
    </row>
    <row r="4" spans="2:9" x14ac:dyDescent="0.35">
      <c r="B4" s="2" t="s">
        <v>7</v>
      </c>
      <c r="C4" s="4">
        <v>2.5137254901960699</v>
      </c>
      <c r="D4" s="1">
        <v>55</v>
      </c>
      <c r="E4" s="4">
        <v>21.568627450980301</v>
      </c>
      <c r="F4" s="1">
        <v>1</v>
      </c>
      <c r="G4" s="4">
        <v>0.39215686274509798</v>
      </c>
      <c r="H4" s="1">
        <v>0</v>
      </c>
      <c r="I4" s="4">
        <f t="shared" ref="I4:I7" si="0">H4/255*100</f>
        <v>0</v>
      </c>
    </row>
    <row r="5" spans="2:9" x14ac:dyDescent="0.35">
      <c r="B5" s="2" t="s">
        <v>8</v>
      </c>
      <c r="C5" s="4">
        <v>2.3843137254901898</v>
      </c>
      <c r="D5" s="1">
        <v>75</v>
      </c>
      <c r="E5" s="4">
        <v>29.411764705882302</v>
      </c>
      <c r="F5" s="1">
        <v>1</v>
      </c>
      <c r="G5" s="4">
        <v>0.39215686274509798</v>
      </c>
      <c r="H5" s="1">
        <v>0</v>
      </c>
      <c r="I5" s="4">
        <f t="shared" si="0"/>
        <v>0</v>
      </c>
    </row>
    <row r="6" spans="2:9" x14ac:dyDescent="0.35">
      <c r="B6" s="2" t="s">
        <v>13</v>
      </c>
      <c r="C6" s="4">
        <v>2.37254901960784</v>
      </c>
      <c r="D6" s="1">
        <v>69</v>
      </c>
      <c r="E6" s="4">
        <v>27.058823529411701</v>
      </c>
      <c r="F6" s="1">
        <v>0</v>
      </c>
      <c r="G6" s="4">
        <v>0</v>
      </c>
      <c r="H6" s="1">
        <v>0</v>
      </c>
      <c r="I6" s="4">
        <f t="shared" si="0"/>
        <v>0</v>
      </c>
    </row>
    <row r="7" spans="2:9" x14ac:dyDescent="0.35">
      <c r="B7" s="2" t="s">
        <v>14</v>
      </c>
      <c r="C7" s="4">
        <v>3.42745098039215</v>
      </c>
      <c r="D7" s="1">
        <v>48</v>
      </c>
      <c r="E7" s="4">
        <v>18.823529411764699</v>
      </c>
      <c r="F7" s="1">
        <v>10</v>
      </c>
      <c r="G7" s="4">
        <v>3.9215686274509798</v>
      </c>
      <c r="H7" s="1">
        <v>0</v>
      </c>
      <c r="I7" s="4">
        <f t="shared" si="0"/>
        <v>0</v>
      </c>
    </row>
    <row r="8" spans="2:9" x14ac:dyDescent="0.35">
      <c r="B8" s="5" t="s">
        <v>9</v>
      </c>
      <c r="C8" s="6">
        <v>5.8151260504201598</v>
      </c>
      <c r="D8" s="7">
        <v>1</v>
      </c>
      <c r="E8" s="6">
        <v>0.84033613445378097</v>
      </c>
      <c r="F8" s="7">
        <v>64</v>
      </c>
      <c r="G8" s="6">
        <v>53.781512605042003</v>
      </c>
      <c r="H8" s="7">
        <v>136</v>
      </c>
      <c r="I8" s="6">
        <f>H8/255*100</f>
        <v>53.333333333333336</v>
      </c>
    </row>
    <row r="9" spans="2:9" x14ac:dyDescent="0.35">
      <c r="B9" s="2" t="s">
        <v>15</v>
      </c>
      <c r="C9" s="4">
        <v>2.7254901960784301</v>
      </c>
      <c r="D9" s="1">
        <v>81</v>
      </c>
      <c r="E9" s="4">
        <v>31.764705882352899</v>
      </c>
      <c r="F9" s="1">
        <v>1</v>
      </c>
      <c r="G9" s="4">
        <v>0.39215686274509798</v>
      </c>
      <c r="H9" s="1">
        <v>0</v>
      </c>
      <c r="I9" s="4">
        <f t="shared" ref="I9:I12" si="1">H9/255*100</f>
        <v>0</v>
      </c>
    </row>
    <row r="10" spans="2:9" x14ac:dyDescent="0.35">
      <c r="B10" s="5" t="s">
        <v>16</v>
      </c>
      <c r="C10" s="6">
        <v>5.3176470588235203</v>
      </c>
      <c r="D10" s="7">
        <v>2</v>
      </c>
      <c r="E10" s="6">
        <v>0.78431372549019596</v>
      </c>
      <c r="F10" s="7">
        <v>63</v>
      </c>
      <c r="G10" s="6">
        <v>24.705882352941099</v>
      </c>
      <c r="H10" s="7">
        <v>0</v>
      </c>
      <c r="I10" s="6">
        <f t="shared" si="1"/>
        <v>0</v>
      </c>
    </row>
    <row r="11" spans="2:9" x14ac:dyDescent="0.35">
      <c r="B11" s="2" t="s">
        <v>17</v>
      </c>
      <c r="C11" s="4">
        <v>2.4196078431372499</v>
      </c>
      <c r="D11" s="1">
        <v>72</v>
      </c>
      <c r="E11" s="4">
        <v>28.235294117647001</v>
      </c>
      <c r="F11" s="1">
        <v>0</v>
      </c>
      <c r="G11" s="4">
        <v>0</v>
      </c>
      <c r="H11" s="1">
        <v>0</v>
      </c>
      <c r="I11" s="4">
        <f t="shared" si="1"/>
        <v>0</v>
      </c>
    </row>
    <row r="12" spans="2:9" x14ac:dyDescent="0.35">
      <c r="B12" s="5" t="s">
        <v>18</v>
      </c>
      <c r="C12" s="6">
        <v>4.9215686274509798</v>
      </c>
      <c r="D12" s="7">
        <v>34</v>
      </c>
      <c r="E12" s="6">
        <v>13.3333333333333</v>
      </c>
      <c r="F12" s="7">
        <v>115</v>
      </c>
      <c r="G12" s="6">
        <v>45.0980392156862</v>
      </c>
      <c r="H12" s="7">
        <v>0</v>
      </c>
      <c r="I12" s="6">
        <f t="shared" si="1"/>
        <v>0</v>
      </c>
    </row>
  </sheetData>
  <mergeCells count="5">
    <mergeCell ref="H2:I2"/>
    <mergeCell ref="B2:B3"/>
    <mergeCell ref="C2:C3"/>
    <mergeCell ref="D2:E2"/>
    <mergeCell ref="F2:G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E6E57-F8D5-4DA6-8E50-FC432DEA4921}">
  <dimension ref="B2:I12"/>
  <sheetViews>
    <sheetView tabSelected="1" workbookViewId="0">
      <selection activeCell="E13" sqref="E13"/>
    </sheetView>
  </sheetViews>
  <sheetFormatPr defaultRowHeight="14.5" x14ac:dyDescent="0.35"/>
  <cols>
    <col min="2" max="2" width="20.54296875" bestFit="1" customWidth="1"/>
    <col min="3" max="3" width="12.54296875" bestFit="1" customWidth="1"/>
    <col min="5" max="5" width="10.81640625" bestFit="1" customWidth="1"/>
    <col min="7" max="7" width="10.81640625" bestFit="1" customWidth="1"/>
    <col min="9" max="9" width="10.81640625" bestFit="1" customWidth="1"/>
  </cols>
  <sheetData>
    <row r="2" spans="2:9" x14ac:dyDescent="0.35">
      <c r="B2" s="11" t="s">
        <v>10</v>
      </c>
      <c r="C2" s="11" t="s">
        <v>3</v>
      </c>
      <c r="D2" s="13" t="s">
        <v>4</v>
      </c>
      <c r="E2" s="14"/>
      <c r="F2" s="13" t="s">
        <v>5</v>
      </c>
      <c r="G2" s="14"/>
      <c r="H2" s="10" t="s">
        <v>6</v>
      </c>
      <c r="I2" s="10"/>
    </row>
    <row r="3" spans="2:9" x14ac:dyDescent="0.35">
      <c r="B3" s="12"/>
      <c r="C3" s="12"/>
      <c r="D3" s="8" t="s">
        <v>11</v>
      </c>
      <c r="E3" s="8" t="s">
        <v>12</v>
      </c>
      <c r="F3" s="8" t="s">
        <v>11</v>
      </c>
      <c r="G3" s="8" t="s">
        <v>12</v>
      </c>
      <c r="H3" s="8" t="s">
        <v>11</v>
      </c>
      <c r="I3" s="8" t="s">
        <v>12</v>
      </c>
    </row>
    <row r="4" spans="2:9" x14ac:dyDescent="0.35">
      <c r="B4" s="2" t="s">
        <v>7</v>
      </c>
      <c r="C4" s="4" t="s">
        <v>19</v>
      </c>
      <c r="D4" s="4">
        <v>58</v>
      </c>
      <c r="E4" s="4">
        <f t="shared" ref="E4:G12" si="0">D4/150*100</f>
        <v>38.666666666666664</v>
      </c>
      <c r="F4" s="4">
        <v>1</v>
      </c>
      <c r="G4" s="4">
        <f>F4/150*100</f>
        <v>0.66666666666666674</v>
      </c>
      <c r="H4" s="4">
        <v>0</v>
      </c>
      <c r="I4" s="4">
        <f>H4/150*100</f>
        <v>0</v>
      </c>
    </row>
    <row r="5" spans="2:9" x14ac:dyDescent="0.35">
      <c r="B5" s="2" t="s">
        <v>8</v>
      </c>
      <c r="C5" s="4" t="s">
        <v>38</v>
      </c>
      <c r="D5" s="4">
        <v>50</v>
      </c>
      <c r="E5" s="4">
        <f t="shared" ref="E5" si="1">D5/150*100</f>
        <v>33.333333333333329</v>
      </c>
      <c r="F5" s="4">
        <v>2</v>
      </c>
      <c r="G5" s="4">
        <f t="shared" si="0"/>
        <v>1.3333333333333335</v>
      </c>
      <c r="H5" s="4">
        <v>0</v>
      </c>
      <c r="I5" s="4">
        <f t="shared" ref="I5:I12" si="2">H5/150*100</f>
        <v>0</v>
      </c>
    </row>
    <row r="6" spans="2:9" x14ac:dyDescent="0.35">
      <c r="B6" s="2" t="s">
        <v>13</v>
      </c>
      <c r="C6" s="4" t="s">
        <v>39</v>
      </c>
      <c r="D6" s="4">
        <v>34</v>
      </c>
      <c r="E6" s="4">
        <f t="shared" ref="E6" si="3">D6/150*100</f>
        <v>22.666666666666664</v>
      </c>
      <c r="F6" s="4">
        <v>2</v>
      </c>
      <c r="G6" s="4">
        <f t="shared" si="0"/>
        <v>1.3333333333333335</v>
      </c>
      <c r="H6" s="4">
        <v>0</v>
      </c>
      <c r="I6" s="4">
        <f t="shared" si="2"/>
        <v>0</v>
      </c>
    </row>
    <row r="7" spans="2:9" x14ac:dyDescent="0.35">
      <c r="B7" s="2" t="s">
        <v>14</v>
      </c>
      <c r="C7" s="4" t="s">
        <v>40</v>
      </c>
      <c r="D7" s="4">
        <v>52</v>
      </c>
      <c r="E7" s="4">
        <f t="shared" ref="E7" si="4">D7/150*100</f>
        <v>34.666666666666671</v>
      </c>
      <c r="F7" s="4">
        <v>13</v>
      </c>
      <c r="G7" s="4">
        <f t="shared" si="0"/>
        <v>8.6666666666666679</v>
      </c>
      <c r="H7" s="4">
        <v>0</v>
      </c>
      <c r="I7" s="4">
        <f t="shared" si="2"/>
        <v>0</v>
      </c>
    </row>
    <row r="8" spans="2:9" x14ac:dyDescent="0.35">
      <c r="B8" s="5" t="s">
        <v>9</v>
      </c>
      <c r="C8" s="6" t="s">
        <v>45</v>
      </c>
      <c r="D8" s="6">
        <v>2</v>
      </c>
      <c r="E8" s="6">
        <f>D8/(150-H8)*100</f>
        <v>3.0303030303030303</v>
      </c>
      <c r="F8" s="6">
        <v>22</v>
      </c>
      <c r="G8" s="6">
        <f>F8/(150-H8)*100</f>
        <v>33.333333333333329</v>
      </c>
      <c r="H8" s="6">
        <v>84</v>
      </c>
      <c r="I8" s="6">
        <f t="shared" si="2"/>
        <v>56.000000000000007</v>
      </c>
    </row>
    <row r="9" spans="2:9" x14ac:dyDescent="0.35">
      <c r="B9" s="2" t="s">
        <v>15</v>
      </c>
      <c r="C9" s="4" t="s">
        <v>41</v>
      </c>
      <c r="D9" s="4">
        <v>18</v>
      </c>
      <c r="E9" s="4">
        <f t="shared" ref="E9" si="5">D9/150*100</f>
        <v>12</v>
      </c>
      <c r="F9" s="4">
        <v>6</v>
      </c>
      <c r="G9" s="4">
        <f t="shared" si="0"/>
        <v>4</v>
      </c>
      <c r="H9" s="4">
        <v>0</v>
      </c>
      <c r="I9" s="4">
        <f t="shared" si="2"/>
        <v>0</v>
      </c>
    </row>
    <row r="10" spans="2:9" x14ac:dyDescent="0.35">
      <c r="B10" s="5" t="s">
        <v>16</v>
      </c>
      <c r="C10" s="6" t="s">
        <v>42</v>
      </c>
      <c r="D10" s="6">
        <v>2</v>
      </c>
      <c r="E10" s="6">
        <f t="shared" ref="E10" si="6">D10/150*100</f>
        <v>1.3333333333333335</v>
      </c>
      <c r="F10" s="6">
        <v>46</v>
      </c>
      <c r="G10" s="6">
        <f t="shared" si="0"/>
        <v>30.666666666666664</v>
      </c>
      <c r="H10" s="4">
        <v>0</v>
      </c>
      <c r="I10" s="6">
        <f t="shared" si="2"/>
        <v>0</v>
      </c>
    </row>
    <row r="11" spans="2:9" x14ac:dyDescent="0.35">
      <c r="B11" s="2" t="s">
        <v>17</v>
      </c>
      <c r="C11" s="4" t="s">
        <v>43</v>
      </c>
      <c r="D11" s="4">
        <v>30</v>
      </c>
      <c r="E11" s="4">
        <f t="shared" ref="E11" si="7">D11/150*100</f>
        <v>20</v>
      </c>
      <c r="F11" s="4">
        <v>33</v>
      </c>
      <c r="G11" s="4">
        <f t="shared" si="0"/>
        <v>22</v>
      </c>
      <c r="H11" s="4">
        <v>0</v>
      </c>
      <c r="I11" s="4">
        <f t="shared" si="2"/>
        <v>0</v>
      </c>
    </row>
    <row r="12" spans="2:9" x14ac:dyDescent="0.35">
      <c r="B12" s="5" t="s">
        <v>18</v>
      </c>
      <c r="C12" s="6" t="s">
        <v>44</v>
      </c>
      <c r="D12" s="6">
        <v>8</v>
      </c>
      <c r="E12" s="6">
        <f t="shared" ref="E12" si="8">D12/150*100</f>
        <v>5.3333333333333339</v>
      </c>
      <c r="F12" s="6">
        <v>25</v>
      </c>
      <c r="G12" s="6">
        <f t="shared" si="0"/>
        <v>16.666666666666664</v>
      </c>
      <c r="H12" s="4">
        <v>0</v>
      </c>
      <c r="I12" s="6">
        <f t="shared" si="2"/>
        <v>0</v>
      </c>
    </row>
  </sheetData>
  <mergeCells count="5">
    <mergeCell ref="B2:B3"/>
    <mergeCell ref="C2:C3"/>
    <mergeCell ref="D2:E2"/>
    <mergeCell ref="F2:G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Training meta-feature</vt:lpstr>
      <vt:lpstr>Testing meta-feature</vt:lpstr>
      <vt:lpstr>Training ranks</vt:lpstr>
      <vt:lpstr>Testing ranks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 Opperman</dc:creator>
  <cp:lastModifiedBy>Christo Opperman</cp:lastModifiedBy>
  <dcterms:created xsi:type="dcterms:W3CDTF">2015-06-05T18:17:20Z</dcterms:created>
  <dcterms:modified xsi:type="dcterms:W3CDTF">2025-12-19T10:56:46Z</dcterms:modified>
</cp:coreProperties>
</file>